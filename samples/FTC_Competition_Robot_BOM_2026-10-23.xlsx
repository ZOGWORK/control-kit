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drawings/drawing1.xml" ContentType="application/vnd.openxmlformats-officedocument.drawing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Overview" sheetId="1" r:id="rId1"/>
    <sheet name="Buy list" sheetId="2" r:id="rId2"/>
    <sheet name="Make" sheetId="3" r:id="rId3"/>
    <sheet name="Review" sheetId="4" r:id="rId4"/>
    <sheet name="Links" sheetId="5" r:id="rId5"/>
    <sheet name="Exceptions" sheetId="6" r:id="rId6"/>
  </sheets>
  <definedNames>
    <definedName name="_xlnm.Print_Titles" localSheetId="1">'Buy list'!$6:$6</definedName>
    <definedName name="_xlnm.Print_Titles" localSheetId="2">'Make'!$6:$6</definedName>
    <definedName name="_xlnm.Print_Titles" localSheetId="3">'Review'!$6:$6</definedName>
    <definedName name="_xlnm.Print_Titles" localSheetId="4">'Links'!$6:$6</definedName>
    <definedName name="_xlnm.Print_Titles" localSheetId="5">'Exceptions'!$6:$6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8">
    <font>
      <sz val="11"/>
      <name val="Calibri"/>
      <color rgb="FF09090B"/>
    </font>
    <font>
      <b/>
      <sz val="11"/>
      <name val="Calibri"/>
      <color rgb="FF09090B"/>
    </font>
    <font>
      <b/>
      <sz val="11"/>
      <name val="Calibri"/>
      <color rgb="FFFFC700"/>
    </font>
    <font>
      <b/>
      <sz val="16"/>
      <name val="Calibri"/>
      <color rgb="FFFFC700"/>
    </font>
    <font>
      <sz val="11"/>
      <name val="Calibri"/>
      <color rgb="FFF4F4F5"/>
    </font>
    <font>
      <u/>
      <sz val="11"/>
      <name val="Calibri"/>
      <color rgb="FF725800"/>
    </font>
    <font>
      <sz val="11"/>
      <name val="Calibri"/>
      <color rgb="FF71717A"/>
    </font>
    <font>
      <b/>
      <sz val="11"/>
      <name val="Calibri"/>
      <color rgb="FFFFC700"/>
    </font>
  </fonts>
  <fills count="1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4F4F5"/>
        <bgColor indexed="64"/>
      </patternFill>
    </fill>
    <fill>
      <patternFill patternType="solid">
        <fgColor rgb="FF09090B"/>
        <bgColor indexed="64"/>
      </patternFill>
    </fill>
    <fill>
      <patternFill patternType="solid">
        <fgColor rgb="FF1F7A3A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FFC700"/>
        <bgColor indexed="64"/>
      </patternFill>
    </fill>
    <fill>
      <patternFill patternType="solid">
        <fgColor rgb="FF71717A"/>
        <bgColor indexed="64"/>
      </patternFill>
    </fill>
    <fill>
      <patternFill patternType="solid">
        <fgColor rgb="FF26262C"/>
        <bgColor indexed="64"/>
      </patternFill>
    </fill>
    <fill>
      <patternFill patternType="solid">
        <fgColor rgb="FFFFF8D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2" borderId="0" xfId="0" applyFont="1" applyFill="1" applyAlignment="1">
      <alignment vertical="center"/>
    </xf>
    <xf numFmtId="0" fontId="0" fillId="3" borderId="0" xfId="0" applyFont="1" applyFill="1" applyAlignment="1">
      <alignment vertical="center"/>
    </xf>
    <xf numFmtId="0" fontId="0" fillId="10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1" fillId="10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4" fillId="6" borderId="0" xfId="0" applyFont="1" applyFill="1" applyAlignment="1">
      <alignment vertical="center"/>
    </xf>
    <xf numFmtId="0" fontId="0" fillId="7" borderId="0" xfId="0" applyFont="1" applyFill="1" applyAlignment="1">
      <alignment vertical="center"/>
    </xf>
    <xf numFmtId="0" fontId="4" fillId="8" borderId="0" xfId="0" applyFont="1" applyFill="1" applyAlignment="1">
      <alignment vertical="center"/>
    </xf>
    <xf numFmtId="0" fontId="7" fillId="9" borderId="0" xfId="0" applyFont="1" applyFill="1" applyAlignment="1">
      <alignment vertical="center"/>
    </xf>
    <xf numFmtId="164" fontId="0" fillId="2" borderId="0" xfId="0" applyFont="1" applyFill="1" applyNumberFormat="1" applyAlignment="1">
      <alignment vertical="center"/>
    </xf>
    <xf numFmtId="164" fontId="0" fillId="3" borderId="0" xfId="0" applyFont="1" applyFill="1" applyNumberFormat="1" applyAlignment="1">
      <alignment vertical="center"/>
    </xf>
    <xf numFmtId="164" fontId="0" fillId="10" borderId="0" xfId="0" applyFont="1" applyFill="1" applyNumberFormat="1" applyAlignment="1">
      <alignment vertical="center"/>
    </xf>
    <xf numFmtId="0" fontId="5" fillId="2" borderId="0" xfId="0" applyFont="1" applyFill="1" applyAlignment="1">
      <alignment vertical="center" wrapText="1"/>
    </xf>
    <xf numFmtId="0" fontId="5" fillId="3" borderId="0" xfId="0" applyFont="1" applyFill="1" applyAlignment="1">
      <alignment vertical="center" wrapText="1"/>
    </xf>
    <xf numFmtId="0" fontId="5" fillId="10" borderId="0" xfId="0" applyFont="1" applyFill="1" applyAlignment="1">
      <alignment vertical="center" wrapText="1"/>
    </xf>
    <xf numFmtId="0" fontId="1" fillId="2" borderId="0" xfId="0" applyFont="1" applyFill="1" applyAlignment="1">
      <alignment vertical="center"/>
    </xf>
    <xf numFmtId="0" fontId="1" fillId="10" borderId="0" xfId="0" applyFont="1" applyFill="1" applyAlignment="1">
      <alignment vertical="center" horizontal="left"/>
    </xf>
    <xf numFmtId="164" fontId="1" fillId="10" borderId="0" xfId="0" applyFont="1" applyFill="1" applyNumberFormat="1" applyAlignment="1">
      <alignment vertical="center" horizontal="left"/>
    </xf>
    <xf numFmtId="0" fontId="6" fillId="3" borderId="0" xfId="0" applyFont="1" applyFill="1" applyAlignment="1">
      <alignment vertical="center"/>
    </xf>
    <xf numFmtId="0" fontId="1" fillId="7" borderId="0" xfId="0" applyFont="1" applyFill="1" applyAlignment="1">
      <alignment vertical="center"/>
    </xf>
    <xf numFmtId="0" fontId="0" fillId="2" borderId="0" xfId="0" applyFont="1" applyFill="1" applyAlignment="1">
      <alignment vertical="center" wrapText="1"/>
    </xf>
    <xf numFmtId="0" fontId="0" fillId="3" borderId="0" xfId="0" applyFont="1" applyFill="1" applyAlignment="1">
      <alignment vertical="center" wrapText="1"/>
    </xf>
    <xf numFmtId="0" fontId="6" fillId="2" borderId="0" xfId="0" applyFont="1" applyFill="1" applyAlignment="1">
      <alignment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control-kit-logo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95250</xdr:colOff>
      <xdr:row>0</xdr:row>
      <xdr:rowOff>47625</xdr:rowOff>
    </xdr:from>
    <xdr:ext cx="952500" cy="952500"/>
    <xdr:pic>
      <xdr:nvPicPr>
        <xdr:cNvPr id="1" name="Control Kit logo" descr="Black and yellow Control Kit hexagon logo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952500" cy="9525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hyperlink" Target="https://cad.onshape.com/documents/robot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hyperlink" Target="https://cad.onshape.com/documents/robot" TargetMode="External"/><Relationship Id="rId2" Type="http://schemas.openxmlformats.org/officeDocument/2006/relationships/hyperlink" Target="https://www.andymark.com/" TargetMode="External"/><Relationship Id="rId3" Type="http://schemas.openxmlformats.org/officeDocument/2006/relationships/hyperlink" Target="https://cad.onshape.com/documents/robot/w/fixture/e/screws" TargetMode="External"/><Relationship Id="rId4" Type="http://schemas.openxmlformats.org/officeDocument/2006/relationships/hyperlink" Target="https://www.gobilda.com/" TargetMode="External"/><Relationship Id="rId5" Type="http://schemas.openxmlformats.org/officeDocument/2006/relationships/hyperlink" Target="https://cad.onshape.com/documents/robot/w/fixture/e/motors" TargetMode="External"/><Relationship Id="rId6" Type="http://schemas.openxmlformats.org/officeDocument/2006/relationships/hyperlink" Target="https://www.revrobotics.com/" TargetMode="External"/><Relationship Id="rId7" Type="http://schemas.openxmlformats.org/officeDocument/2006/relationships/hyperlink" Target="https://cad.onshape.com/documents/robot/w/fixture/e/wheels" TargetMode="External"/><Relationship Id="rId8" Type="http://schemas.openxmlformats.org/officeDocument/2006/relationships/hyperlink" Target="https://www.servocity.com/" TargetMode="External"/><Relationship Id="rId9" Type="http://schemas.openxmlformats.org/officeDocument/2006/relationships/hyperlink" Target="https://cad.onshape.com/documents/robot/w/fixture/e/bearings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hyperlink" Target="https://cad.onshape.com/documents/robot" TargetMode="Externa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hyperlink" Target="https://cad.onshape.com/documents/robot" TargetMode="External"/><Relationship Id="rId2" Type="http://schemas.openxmlformats.org/officeDocument/2006/relationships/hyperlink" Target="https://cad.onshape.com/documents/robot/w/fixture/e/prints" TargetMode="Externa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hyperlink" Target="https://cad.onshape.com/documents/robot" TargetMode="External"/><Relationship Id="rId2" Type="http://schemas.openxmlformats.org/officeDocument/2006/relationships/hyperlink" Target="https://www.gobilda.com/" TargetMode="External"/><Relationship Id="rId3" Type="http://schemas.openxmlformats.org/officeDocument/2006/relationships/hyperlink" Target="https://cad.onshape.com/documents/robot/w/fixture/e/motors" TargetMode="External"/><Relationship Id="rId4" Type="http://schemas.openxmlformats.org/officeDocument/2006/relationships/hyperlink" Target="https://www.revrobotics.com/" TargetMode="External"/><Relationship Id="rId5" Type="http://schemas.openxmlformats.org/officeDocument/2006/relationships/hyperlink" Target="https://cad.onshape.com/documents/robot/w/fixture/e/wheels" TargetMode="External"/><Relationship Id="rId6" Type="http://schemas.openxmlformats.org/officeDocument/2006/relationships/hyperlink" Target="https://www.servocity.com/" TargetMode="External"/><Relationship Id="rId7" Type="http://schemas.openxmlformats.org/officeDocument/2006/relationships/hyperlink" Target="https://cad.onshape.com/documents/robot/w/fixture/e/bearings" TargetMode="External"/><Relationship Id="rId8" Type="http://schemas.openxmlformats.org/officeDocument/2006/relationships/hyperlink" Target="https://www.andymark.com/" TargetMode="External"/><Relationship Id="rId9" Type="http://schemas.openxmlformats.org/officeDocument/2006/relationships/hyperlink" Target="https://cad.onshape.com/documents/robot/w/fixture/e/screws" TargetMode="External"/><Relationship Id="rId10" Type="http://schemas.openxmlformats.org/officeDocument/2006/relationships/hyperlink" Target="https://cad.onshape.com/documents/robot/w/fixture/e/prints" TargetMode="Externa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hyperlink" Target="https://cad.onshape.com/documents/robot" TargetMode="External"/><Relationship Id="rId2" Type="http://schemas.openxmlformats.org/officeDocument/2006/relationships/hyperlink" Target="https://cad.onshape.com/documents/robot/w/fixture/e/wheels" TargetMode="External"/><Relationship Id="rId3" Type="http://schemas.openxmlformats.org/officeDocument/2006/relationships/hyperlink" Target="https://cad.onshape.com/documents/robot/w/fixture/e/ge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8"/>
  <sheetViews>
    <sheetView workbookViewId="0"/>
  </sheetViews>
  <sheetFormatPr defaultRowHeight="16"/>
  <cols>
    <col min="1" max="1" width="12" customWidth="1"/>
    <col min="2" max="2" width="10" customWidth="1"/>
    <col min="3" max="3" width="16" customWidth="1"/>
    <col min="4" max="4" width="10" customWidth="1"/>
    <col min="5" max="5" width="16" customWidth="1"/>
    <col min="6" max="6" width="10" customWidth="1"/>
    <col min="7" max="7" width="16" customWidth="1"/>
    <col min="8" max="8" width="10" customWidth="1"/>
    <col min="9" max="9" width="18" customWidth="1"/>
    <col min="10" max="10" width="14" customWidth="1"/>
  </cols>
  <sheetData>
    <row r="1" ht="38" customHeight="1">
      <c r="A1" s="7" t="inlineStr">
        <is>
          <t xml:space="preserve"/>
        </is>
      </c>
      <c r="B1" s="7" t="inlineStr">
        <is>
          <t xml:space="preserve"/>
        </is>
      </c>
      <c r="C1" s="7" t="inlineStr">
        <is>
          <t xml:space="preserve">CONTROL KIT  /  BILL OF MATERIALS</t>
        </is>
      </c>
      <c r="D1" s="7" t="inlineStr">
        <is>
          <t xml:space="preserve"/>
        </is>
      </c>
      <c r="E1" s="7" t="inlineStr">
        <is>
          <t xml:space="preserve"/>
        </is>
      </c>
      <c r="F1" s="7" t="inlineStr">
        <is>
          <t xml:space="preserve"/>
        </is>
      </c>
      <c r="G1" s="7" t="inlineStr">
        <is>
          <t xml:space="preserve"/>
        </is>
      </c>
      <c r="H1" s="7" t="inlineStr">
        <is>
          <t xml:space="preserve"/>
        </is>
      </c>
      <c r="I1" s="7" t="inlineStr">
        <is>
          <t xml:space="preserve"/>
        </is>
      </c>
      <c r="J1" s="7" t="inlineStr">
        <is>
          <t xml:space="preserve"/>
        </is>
      </c>
    </row>
    <row r="2" ht="26" customHeight="1">
      <c r="A2" s="8" t="inlineStr">
        <is>
          <t xml:space="preserve"/>
        </is>
      </c>
      <c r="B2" s="8" t="inlineStr">
        <is>
          <t xml:space="preserve"/>
        </is>
      </c>
      <c r="C2" s="8" t="inlineStr">
        <is>
          <t xml:space="preserve">FTC Competition Robot · Open in Onshape</t>
        </is>
      </c>
      <c r="D2" s="8" t="inlineStr">
        <is>
          <t xml:space="preserve"/>
        </is>
      </c>
      <c r="E2" s="8" t="inlineStr">
        <is>
          <t xml:space="preserve"/>
        </is>
      </c>
      <c r="F2" s="8" t="inlineStr">
        <is>
          <t xml:space="preserve"/>
        </is>
      </c>
      <c r="G2" s="8" t="inlineStr">
        <is>
          <t xml:space="preserve"/>
        </is>
      </c>
      <c r="H2" s="8" t="inlineStr">
        <is>
          <t xml:space="preserve"/>
        </is>
      </c>
      <c r="I2" s="8" t="inlineStr">
        <is>
          <t xml:space="preserve"/>
        </is>
      </c>
      <c r="J2" s="8" t="inlineStr">
        <is>
          <t xml:space="preserve"/>
        </is>
      </c>
    </row>
    <row r="3" ht="24" customHeight="1">
      <c r="A3" s="8" t="inlineStr">
        <is>
          <t xml:space="preserve"/>
        </is>
      </c>
      <c r="B3" s="8" t="inlineStr">
        <is>
          <t xml:space="preserve"/>
        </is>
      </c>
      <c r="C3" s="8" t="inlineStr">
        <is>
          <t xml:space="preserve">Scanned 2026-10-29 (Not recorded) · Generated 2026-10-23 12:00 UTC</t>
        </is>
      </c>
      <c r="D3" s="8" t="inlineStr">
        <is>
          <t xml:space="preserve"/>
        </is>
      </c>
      <c r="E3" s="8" t="inlineStr">
        <is>
          <t xml:space="preserve"/>
        </is>
      </c>
      <c r="F3" s="8" t="inlineStr">
        <is>
          <t xml:space="preserve"/>
        </is>
      </c>
      <c r="G3" s="8" t="inlineStr">
        <is>
          <t xml:space="preserve"/>
        </is>
      </c>
      <c r="H3" s="8" t="inlineStr">
        <is>
          <t xml:space="preserve"/>
        </is>
      </c>
      <c r="I3" s="8" t="inlineStr">
        <is>
          <t xml:space="preserve"/>
        </is>
      </c>
      <c r="J3" s="8" t="inlineStr">
        <is>
          <t xml:space="preserve"/>
        </is>
      </c>
    </row>
    <row r="4">
      <c r="A4" s="20" t="inlineStr">
        <is>
          <t xml:space="preserve">Parts</t>
        </is>
      </c>
      <c r="B4" s="21">
        <v>5</v>
      </c>
      <c r="C4" s="20" t="inlineStr">
        <is>
          <t xml:space="preserve">Buy</t>
        </is>
      </c>
      <c r="D4" s="21">
        <v>4</v>
      </c>
      <c r="E4" s="20" t="inlineStr">
        <is>
          <t xml:space="preserve">Make</t>
        </is>
      </c>
      <c r="F4" s="21">
        <v>0</v>
      </c>
      <c r="G4" s="20" t="inlineStr">
        <is>
          <t xml:space="preserve">Needs review</t>
        </is>
      </c>
      <c r="H4" s="21">
        <v>1</v>
      </c>
      <c r="I4" s="20" t="inlineStr">
        <is>
          <t xml:space="preserve">Known subtotal</t>
        </is>
      </c>
      <c r="J4" s="22">
        <f>IF(COUNT('Buy list'!I7:I10),SUM('Buy list'!I7:I10),"None priced")</f>
        <v>979.6</v>
      </c>
    </row>
    <row r="5">
      <c r="A5" s="27" t="inlineStr">
        <is>
          <t xml:space="preserve">3 of 4 parts to buy are priced. 260 instances in the assembly, plus 4 suppressed.</t>
        </is>
      </c>
    </row>
    <row r="7">
      <c r="A7" s="24" t="inlineStr">
        <is>
          <t xml:space="preserve">Vendor catalogs</t>
        </is>
      </c>
      <c r="B7" s="24" t="inlineStr">
        <is>
          <t xml:space="preserve"/>
        </is>
      </c>
      <c r="C7" s="24" t="inlineStr">
        <is>
          <t xml:space="preserve"/>
        </is>
      </c>
      <c r="D7" s="24" t="inlineStr">
        <is>
          <t xml:space="preserve"/>
        </is>
      </c>
      <c r="E7" s="24" t="inlineStr">
        <is>
          <t xml:space="preserve"/>
        </is>
      </c>
      <c r="F7" s="24" t="inlineStr">
        <is>
          <t xml:space="preserve"/>
        </is>
      </c>
      <c r="G7" s="24" t="inlineStr">
        <is>
          <t xml:space="preserve"/>
        </is>
      </c>
      <c r="H7" s="24" t="inlineStr">
        <is>
          <t xml:space="preserve"/>
        </is>
      </c>
      <c r="I7" s="24" t="inlineStr">
        <is>
          <t xml:space="preserve"/>
        </is>
      </c>
      <c r="J7" s="24" t="inlineStr">
        <is>
          <t xml:space="preserve"/>
        </is>
      </c>
    </row>
    <row r="8">
      <c r="A8" s="6" t="inlineStr">
        <is>
          <t xml:space="preserve">Vendor</t>
        </is>
      </c>
      <c r="B8" s="6" t="inlineStr">
        <is>
          <t xml:space="preserve"/>
        </is>
      </c>
      <c r="C8" s="6" t="inlineStr">
        <is>
          <t xml:space="preserve">Status</t>
        </is>
      </c>
      <c r="D8" s="6" t="inlineStr">
        <is>
          <t xml:space="preserve"/>
        </is>
      </c>
      <c r="E8" s="6" t="inlineStr">
        <is>
          <t xml:space="preserve">Products</t>
        </is>
      </c>
      <c r="F8" s="6" t="inlineStr">
        <is>
          <t xml:space="preserve"/>
        </is>
      </c>
      <c r="G8" s="6" t="inlineStr">
        <is>
          <t xml:space="preserve">Updated</t>
        </is>
      </c>
      <c r="H8" s="6" t="inlineStr">
        <is>
          <t xml:space="preserve"/>
        </is>
      </c>
      <c r="I8" s="6" t="inlineStr">
        <is>
          <t xml:space="preserve"/>
        </is>
      </c>
      <c r="J8" s="6" t="inlineStr">
        <is>
          <t xml:space="preserve"/>
        </is>
      </c>
    </row>
    <row r="9">
      <c r="A9" s="23" t="inlineStr">
        <is>
          <t xml:space="preserve">Catalog status was not recorded with this scan. Vendor data as of 2026-10-23.</t>
        </is>
      </c>
    </row>
    <row r="11">
      <c r="A11" s="24" t="inlineStr">
        <is>
          <t xml:space="preserve">How to read this workbook</t>
        </is>
      </c>
      <c r="B11" s="24" t="inlineStr">
        <is>
          <t xml:space="preserve"/>
        </is>
      </c>
      <c r="C11" s="24" t="inlineStr">
        <is>
          <t xml:space="preserve"/>
        </is>
      </c>
      <c r="D11" s="24" t="inlineStr">
        <is>
          <t xml:space="preserve"/>
        </is>
      </c>
      <c r="E11" s="24" t="inlineStr">
        <is>
          <t xml:space="preserve"/>
        </is>
      </c>
      <c r="F11" s="24" t="inlineStr">
        <is>
          <t xml:space="preserve"/>
        </is>
      </c>
      <c r="G11" s="24" t="inlineStr">
        <is>
          <t xml:space="preserve"/>
        </is>
      </c>
      <c r="H11" s="24" t="inlineStr">
        <is>
          <t xml:space="preserve"/>
        </is>
      </c>
      <c r="I11" s="24" t="inlineStr">
        <is>
          <t xml:space="preserve"/>
        </is>
      </c>
      <c r="J11" s="24" t="inlineStr">
        <is>
          <t xml:space="preserve"/>
        </is>
      </c>
    </row>
    <row r="12" ht="30" customHeight="1">
      <c r="A12" s="25" t="inlineStr">
        <is>
          <t xml:space="preserve">Buy list: parts to order, grouped by vendor, with product links, packs, and live Line Total formulas.</t>
        </is>
      </c>
    </row>
    <row r="13" ht="30" customHeight="1">
      <c r="A13" s="25" t="inlineStr">
        <is>
          <t xml:space="preserve">Make: parts to 3D print, machine, cut, or fabricate, with the STEP file name each gets in the export ZIP.</t>
        </is>
      </c>
    </row>
    <row r="14" ht="30" customHeight="1">
      <c r="A14" s="25" t="inlineStr">
        <is>
          <t xml:space="preserve">Review: parts without a decision yet, with suggestions and possible products to confirm in Control Kit.</t>
        </is>
      </c>
    </row>
    <row r="15" ht="30" customHeight="1">
      <c r="A15" s="25" t="inlineStr">
        <is>
          <t xml:space="preserve">Links: every part, with its vendor product page and its Onshape part.</t>
        </is>
      </c>
    </row>
    <row r="16" ht="30" customHeight="1">
      <c r="A16" s="25" t="inlineStr">
        <is>
          <t xml:space="preserve">Exceptions: stock problems, unresolved subassemblies, parts missing data, and suppressed parts.</t>
        </is>
      </c>
    </row>
    <row r="17" ht="30" customHeight="1">
      <c r="A17" s="25" t="inlineStr">
        <is>
          <t xml:space="preserve">Qty Needed counts every active instance in the assembly. Packs to Order = Qty Needed ÷ Pack Size, rounded up. Line Total = Packs to Order × Pack Price.</t>
        </is>
      </c>
    </row>
    <row r="18" ht="30" customHeight="1">
      <c r="A18" s="25" t="inlineStr">
        <is>
          <t xml:space="preserve">A product is used only when its SKU matched exactly or someone confirmed it. Possible matches are listed but never priced. Known subtotal adds only filled Line Totals.</t>
        </is>
      </c>
    </row>
  </sheetData>
  <mergeCells count="14">
    <mergeCell ref="C1:J1"/>
    <mergeCell ref="C2:J2"/>
    <mergeCell ref="C3:J3"/>
    <mergeCell ref="A1:B3"/>
    <mergeCell ref="A5:J5"/>
    <mergeCell ref="A7:J7"/>
    <mergeCell ref="A11:J11"/>
    <mergeCell ref="A12:J12"/>
    <mergeCell ref="A13:J13"/>
    <mergeCell ref="A14:J14"/>
    <mergeCell ref="A15:J15"/>
    <mergeCell ref="A16:J16"/>
    <mergeCell ref="A17:J17"/>
    <mergeCell ref="A18:J18"/>
  </mergeCells>
  <hyperlinks>
    <hyperlink ref="C2" r:id="rId1"/>
  </hyperlinks>
  <printOptions/>
  <pageMargins left="0.3" right="0.3" top="0.5" bottom="0.5" header="0.2" footer="0.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N10"/>
  <sheetViews>
    <sheetView workbookViewId="0">
      <pane ySplit="6" topLeftCell="A7" activePane="bottomLeft" state="frozen"/>
    </sheetView>
  </sheetViews>
  <sheetFormatPr defaultRowHeight="16"/>
  <cols>
    <col min="1" max="1" width="6" customWidth="1"/>
    <col min="2" max="2" width="44" customWidth="1"/>
    <col min="3" max="3" width="15" customWidth="1"/>
    <col min="4" max="4" width="14" customWidth="1"/>
    <col min="5" max="5" width="19" customWidth="1"/>
    <col min="6" max="6" width="11" customWidth="1"/>
    <col min="7" max="7" width="13" customWidth="1"/>
    <col min="8" max="8" width="16" customWidth="1"/>
    <col min="9" max="9" width="15" customWidth="1"/>
    <col min="10" max="10" width="26" customWidth="1"/>
    <col min="11" max="11" width="30" customWidth="1"/>
    <col min="12" max="12" width="11" customWidth="1"/>
    <col min="13" max="13" width="24" customWidth="1"/>
    <col min="14" max="14" width="52" customWidth="1"/>
  </cols>
  <sheetData>
    <row r="1">
      <c r="A1" s="7" t="inlineStr">
        <is>
          <t xml:space="preserve">BUY LIST</t>
        </is>
      </c>
      <c r="B1" s="7" t="inlineStr">
        <is>
          <t xml:space="preserve"/>
        </is>
      </c>
      <c r="C1" s="7" t="inlineStr">
        <is>
          <t xml:space="preserve"/>
        </is>
      </c>
      <c r="D1" s="7" t="inlineStr">
        <is>
          <t xml:space="preserve"/>
        </is>
      </c>
      <c r="E1" s="7" t="inlineStr">
        <is>
          <t xml:space="preserve"/>
        </is>
      </c>
      <c r="F1" s="7" t="inlineStr">
        <is>
          <t xml:space="preserve"/>
        </is>
      </c>
      <c r="G1" s="7" t="inlineStr">
        <is>
          <t xml:space="preserve"/>
        </is>
      </c>
      <c r="H1" s="7" t="inlineStr">
        <is>
          <t xml:space="preserve"/>
        </is>
      </c>
      <c r="I1" s="7" t="inlineStr">
        <is>
          <t xml:space="preserve"/>
        </is>
      </c>
      <c r="J1" s="7" t="inlineStr">
        <is>
          <t xml:space="preserve"/>
        </is>
      </c>
      <c r="K1" s="7" t="inlineStr">
        <is>
          <t xml:space="preserve"/>
        </is>
      </c>
      <c r="L1" s="7" t="inlineStr">
        <is>
          <t xml:space="preserve"/>
        </is>
      </c>
      <c r="M1" s="7" t="inlineStr">
        <is>
          <t xml:space="preserve"/>
        </is>
      </c>
      <c r="N1" s="7" t="inlineStr">
        <is>
          <t xml:space="preserve"/>
        </is>
      </c>
    </row>
    <row r="2">
      <c r="A2" s="8" t="inlineStr">
        <is>
          <t xml:space="preserve">FTC Competition Robot · Open in Onshape</t>
        </is>
      </c>
      <c r="B2" s="8" t="inlineStr">
        <is>
          <t xml:space="preserve"/>
        </is>
      </c>
      <c r="C2" s="8" t="inlineStr">
        <is>
          <t xml:space="preserve"/>
        </is>
      </c>
      <c r="D2" s="8" t="inlineStr">
        <is>
          <t xml:space="preserve"/>
        </is>
      </c>
      <c r="E2" s="8" t="inlineStr">
        <is>
          <t xml:space="preserve"/>
        </is>
      </c>
      <c r="F2" s="8" t="inlineStr">
        <is>
          <t xml:space="preserve"/>
        </is>
      </c>
      <c r="G2" s="8" t="inlineStr">
        <is>
          <t xml:space="preserve"/>
        </is>
      </c>
      <c r="H2" s="8" t="inlineStr">
        <is>
          <t xml:space="preserve"/>
        </is>
      </c>
      <c r="I2" s="8" t="inlineStr">
        <is>
          <t xml:space="preserve"/>
        </is>
      </c>
      <c r="J2" s="8" t="inlineStr">
        <is>
          <t xml:space="preserve"/>
        </is>
      </c>
      <c r="K2" s="8" t="inlineStr">
        <is>
          <t xml:space="preserve"/>
        </is>
      </c>
      <c r="L2" s="8" t="inlineStr">
        <is>
          <t xml:space="preserve"/>
        </is>
      </c>
      <c r="M2" s="8" t="inlineStr">
        <is>
          <t xml:space="preserve"/>
        </is>
      </c>
      <c r="N2" s="8" t="inlineStr">
        <is>
          <t xml:space="preserve"/>
        </is>
      </c>
    </row>
    <row r="3">
      <c r="A3" s="8" t="inlineStr">
        <is>
          <t xml:space="preserve">Scanned 2026-10-29 (Not recorded) · Generated 2026-10-23 12:00 UTC</t>
        </is>
      </c>
      <c r="B3" s="8" t="inlineStr">
        <is>
          <t xml:space="preserve"/>
        </is>
      </c>
      <c r="C3" s="8" t="inlineStr">
        <is>
          <t xml:space="preserve"/>
        </is>
      </c>
      <c r="D3" s="8" t="inlineStr">
        <is>
          <t xml:space="preserve"/>
        </is>
      </c>
      <c r="E3" s="8" t="inlineStr">
        <is>
          <t xml:space="preserve"/>
        </is>
      </c>
      <c r="F3" s="8" t="inlineStr">
        <is>
          <t xml:space="preserve"/>
        </is>
      </c>
      <c r="G3" s="8" t="inlineStr">
        <is>
          <t xml:space="preserve"/>
        </is>
      </c>
      <c r="H3" s="8" t="inlineStr">
        <is>
          <t xml:space="preserve"/>
        </is>
      </c>
      <c r="I3" s="8" t="inlineStr">
        <is>
          <t xml:space="preserve"/>
        </is>
      </c>
      <c r="J3" s="8" t="inlineStr">
        <is>
          <t xml:space="preserve"/>
        </is>
      </c>
      <c r="K3" s="8" t="inlineStr">
        <is>
          <t xml:space="preserve"/>
        </is>
      </c>
      <c r="L3" s="8" t="inlineStr">
        <is>
          <t xml:space="preserve"/>
        </is>
      </c>
      <c r="M3" s="8" t="inlineStr">
        <is>
          <t xml:space="preserve"/>
        </is>
      </c>
      <c r="N3" s="8" t="inlineStr">
        <is>
          <t xml:space="preserve"/>
        </is>
      </c>
    </row>
    <row r="4">
      <c r="B4" s="20" t="inlineStr">
        <is>
          <t xml:space="preserve">Lines</t>
        </is>
      </c>
      <c r="C4" s="21">
        <v>4</v>
      </c>
      <c r="D4" s="20" t="inlineStr">
        <is>
          <t xml:space="preserve">Priced</t>
        </is>
      </c>
      <c r="E4" s="21">
        <v>3</v>
      </c>
      <c r="F4" s="20" t="inlineStr">
        <is>
          <t xml:space="preserve">Unpriced</t>
        </is>
      </c>
      <c r="G4" s="21">
        <v>1</v>
      </c>
      <c r="H4" s="20" t="inlineStr">
        <is>
          <t xml:space="preserve">Known subtotal</t>
        </is>
      </c>
      <c r="I4" s="22">
        <f>IF(COUNT(I7:I10),SUM(I7:I10),"None priced")</f>
        <v>979.6</v>
      </c>
    </row>
    <row r="5" ht="30" customHeight="1">
      <c r="A5" s="27" t="inlineStr">
        <is>
          <t xml:space="preserve">Known subtotal adds only Line Totals that are filled in: an exact or confirmed product with a verified pack size and price. A blank Line Total is unknown, not zero. Packs to Order = Qty Needed ÷ Pack Size, rounded up.</t>
        </is>
      </c>
    </row>
    <row r="6">
      <c r="A6" s="6" t="inlineStr">
        <is>
          <t xml:space="preserve">#</t>
        </is>
      </c>
      <c r="B6" s="6" t="inlineStr">
        <is>
          <t xml:space="preserve">Part</t>
        </is>
      </c>
      <c r="C6" s="6" t="inlineStr">
        <is>
          <t xml:space="preserve">Qty Needed</t>
        </is>
      </c>
      <c r="D6" s="6" t="inlineStr">
        <is>
          <t xml:space="preserve">Pack Size</t>
        </is>
      </c>
      <c r="E6" s="6" t="inlineStr">
        <is>
          <t xml:space="preserve">Packs to Order</t>
        </is>
      </c>
      <c r="F6" s="6" t="inlineStr">
        <is>
          <t xml:space="preserve">Vendor</t>
        </is>
      </c>
      <c r="G6" s="6" t="inlineStr">
        <is>
          <t xml:space="preserve">SKU</t>
        </is>
      </c>
      <c r="H6" s="6" t="inlineStr">
        <is>
          <t xml:space="preserve">Pack Price</t>
        </is>
      </c>
      <c r="I6" s="6" t="inlineStr">
        <is>
          <t xml:space="preserve">Line Total</t>
        </is>
      </c>
      <c r="J6" s="6" t="inlineStr">
        <is>
          <t xml:space="preserve">Stock</t>
        </is>
      </c>
      <c r="K6" s="6" t="inlineStr">
        <is>
          <t xml:space="preserve">Price and Stock As Of</t>
        </is>
      </c>
      <c r="L6" s="6" t="inlineStr">
        <is>
          <t xml:space="preserve">Match</t>
        </is>
      </c>
      <c r="M6" s="6" t="inlineStr">
        <is>
          <t xml:space="preserve">Onshape Part Studio</t>
        </is>
      </c>
      <c r="N6" s="6" t="inlineStr">
        <is>
          <t xml:space="preserve">Notes</t>
        </is>
      </c>
    </row>
    <row r="7">
      <c r="A7" s="0">
        <v>1</v>
      </c>
      <c r="B7" s="17" t="inlineStr">
        <is>
          <t xml:space="preserve">M3 Screw</t>
        </is>
      </c>
      <c r="C7" s="0">
        <v>200</v>
      </c>
      <c r="D7" s="0">
        <v>10</v>
      </c>
      <c r="E7" s="0">
        <v>20</v>
      </c>
      <c r="F7" s="0" t="inlineStr">
        <is>
          <t xml:space="preserve">AndyMark</t>
        </is>
      </c>
      <c r="G7" s="3" t="inlineStr">
        <is>
          <t xml:space="preserve">AM-1000</t>
        </is>
      </c>
      <c r="H7" s="14">
        <v>8.99</v>
      </c>
      <c r="I7" s="14">
        <f>E7*H7</f>
        <v>179.8</v>
      </c>
      <c r="J7" s="9" t="inlineStr">
        <is>
          <t xml:space="preserve">In stock, 2026-10-23</t>
        </is>
      </c>
      <c r="K7" s="0" t="inlineStr">
        <is>
          <t xml:space="preserve">2026-10-23</t>
        </is>
      </c>
      <c r="L7" s="0" t="inlineStr">
        <is>
          <t xml:space="preserve">Confirmed</t>
        </is>
      </c>
      <c r="M7" s="17" t="inlineStr">
        <is>
          <t xml:space="preserve">Open Part Studio</t>
        </is>
      </c>
      <c r="N7" s="25" t="inlineStr">
        <is>
          <t xml:space="preserve"/>
        </is>
      </c>
    </row>
    <row r="8">
      <c r="A8" s="1">
        <v>2</v>
      </c>
      <c r="B8" s="18" t="inlineStr">
        <is>
          <t xml:space="preserve">5203 Motor</t>
        </is>
      </c>
      <c r="C8" s="1">
        <v>20</v>
      </c>
      <c r="D8" s="1">
        <v>1</v>
      </c>
      <c r="E8" s="1">
        <v>20</v>
      </c>
      <c r="F8" s="1" t="inlineStr">
        <is>
          <t xml:space="preserve">goBILDA</t>
        </is>
      </c>
      <c r="G8" s="4" t="inlineStr">
        <is>
          <t xml:space="preserve">GB-5203</t>
        </is>
      </c>
      <c r="H8" s="15">
        <v>34.99</v>
      </c>
      <c r="I8" s="15">
        <f>E8*H8</f>
        <v>699.8</v>
      </c>
      <c r="J8" s="9" t="inlineStr">
        <is>
          <t xml:space="preserve">In stock, 2026-10-23</t>
        </is>
      </c>
      <c r="K8" s="1" t="inlineStr">
        <is>
          <t xml:space="preserve">2026-10-23</t>
        </is>
      </c>
      <c r="L8" s="1" t="inlineStr">
        <is>
          <t xml:space="preserve">Confirmed</t>
        </is>
      </c>
      <c r="M8" s="18" t="inlineStr">
        <is>
          <t xml:space="preserve">Open Part Studio</t>
        </is>
      </c>
      <c r="N8" s="26" t="inlineStr">
        <is>
          <t xml:space="preserve"/>
        </is>
      </c>
    </row>
    <row r="9">
      <c r="A9" s="0">
        <v>3</v>
      </c>
      <c r="B9" s="17" t="inlineStr">
        <is>
          <t xml:space="preserve">96mm Wheel</t>
        </is>
      </c>
      <c r="C9" s="0">
        <v>16</v>
      </c>
      <c r="D9" s="0">
        <v>2</v>
      </c>
      <c r="E9" s="0">
        <v>8</v>
      </c>
      <c r="F9" s="0" t="inlineStr">
        <is>
          <t xml:space="preserve">REV</t>
        </is>
      </c>
      <c r="G9" s="3" t="inlineStr">
        <is>
          <t xml:space="preserve">REV-31-1234</t>
        </is>
      </c>
      <c r="H9" s="14">
        <v>12.5</v>
      </c>
      <c r="I9" s="14">
        <f>E9*H9</f>
        <v>100</v>
      </c>
      <c r="J9" s="10" t="inlineStr">
        <is>
          <t xml:space="preserve">Out of stock, 2026-10-23</t>
        </is>
      </c>
      <c r="K9" s="0" t="inlineStr">
        <is>
          <t xml:space="preserve">2026-10-23</t>
        </is>
      </c>
      <c r="L9" s="0" t="inlineStr">
        <is>
          <t xml:space="preserve">Confirmed</t>
        </is>
      </c>
      <c r="M9" s="17" t="inlineStr">
        <is>
          <t xml:space="preserve">Open Part Studio</t>
        </is>
      </c>
      <c r="N9" s="25" t="inlineStr">
        <is>
          <t xml:space="preserve"/>
        </is>
      </c>
    </row>
    <row r="10">
      <c r="A10" s="1">
        <v>4</v>
      </c>
      <c r="B10" s="18" t="inlineStr">
        <is>
          <t xml:space="preserve">Bearing</t>
        </is>
      </c>
      <c r="C10" s="1">
        <v>14</v>
      </c>
      <c r="D10" s="1" t="inlineStr">
        <is>
          <t xml:space="preserve"/>
        </is>
      </c>
      <c r="E10" s="1" t="inlineStr">
        <is>
          <t xml:space="preserve"/>
        </is>
      </c>
      <c r="F10" s="1" t="inlineStr">
        <is>
          <t xml:space="preserve">ServoCity</t>
        </is>
      </c>
      <c r="G10" s="4" t="inlineStr">
        <is>
          <t xml:space="preserve">SC-8000</t>
        </is>
      </c>
      <c r="H10" s="15">
        <v>6</v>
      </c>
      <c r="I10" s="1" t="inlineStr">
        <is>
          <t xml:space="preserve"/>
        </is>
      </c>
      <c r="J10" s="12" t="inlineStr">
        <is>
          <t xml:space="preserve">Unknown</t>
        </is>
      </c>
      <c r="K10" s="1" t="inlineStr">
        <is>
          <t xml:space="preserve">2026-10-23</t>
        </is>
      </c>
      <c r="L10" s="1" t="inlineStr">
        <is>
          <t xml:space="preserve">Confirmed</t>
        </is>
      </c>
      <c r="M10" s="18" t="inlineStr">
        <is>
          <t xml:space="preserve">Open Part Studio</t>
        </is>
      </c>
      <c r="N10" s="26" t="inlineStr">
        <is>
          <t xml:space="preserve">Pack size not verified, so no total</t>
        </is>
      </c>
    </row>
  </sheetData>
  <autoFilter ref="A6:N10"/>
  <mergeCells count="4">
    <mergeCell ref="A1:N1"/>
    <mergeCell ref="A2:N2"/>
    <mergeCell ref="A3:N3"/>
    <mergeCell ref="A5:N5"/>
  </mergeCells>
  <hyperlinks>
    <hyperlink ref="A2" r:id="rId1"/>
    <hyperlink ref="B7" r:id="rId2"/>
    <hyperlink ref="M7" r:id="rId3"/>
    <hyperlink ref="B8" r:id="rId4"/>
    <hyperlink ref="M8" r:id="rId5"/>
    <hyperlink ref="B9" r:id="rId6"/>
    <hyperlink ref="M9" r:id="rId7"/>
    <hyperlink ref="B10" r:id="rId8"/>
    <hyperlink ref="M10" r:id="rId9"/>
  </hyperlinks>
  <printOptions/>
  <pageMargins left="0.3" right="0.3" top="0.5" bottom="0.5" header="0.2" footer="0.2"/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7"/>
  <sheetViews>
    <sheetView workbookViewId="0">
      <pane ySplit="6" topLeftCell="A7" activePane="bottomLeft" state="frozen"/>
    </sheetView>
  </sheetViews>
  <sheetFormatPr defaultRowHeight="16"/>
  <cols>
    <col min="1" max="1" width="6" customWidth="1"/>
    <col min="2" max="2" width="44" customWidth="1"/>
    <col min="3" max="3" width="15" customWidth="1"/>
    <col min="4" max="4" width="12" customWidth="1"/>
    <col min="5" max="5" width="13" customWidth="1"/>
    <col min="6" max="6" width="44" customWidth="1"/>
    <col min="7" max="7" width="24" customWidth="1"/>
    <col min="8" max="8" width="52" customWidth="1"/>
  </cols>
  <sheetData>
    <row r="1">
      <c r="A1" s="7" t="inlineStr">
        <is>
          <t xml:space="preserve">MAKE</t>
        </is>
      </c>
      <c r="B1" s="7" t="inlineStr">
        <is>
          <t xml:space="preserve"/>
        </is>
      </c>
      <c r="C1" s="7" t="inlineStr">
        <is>
          <t xml:space="preserve"/>
        </is>
      </c>
      <c r="D1" s="7" t="inlineStr">
        <is>
          <t xml:space="preserve"/>
        </is>
      </c>
      <c r="E1" s="7" t="inlineStr">
        <is>
          <t xml:space="preserve"/>
        </is>
      </c>
      <c r="F1" s="7" t="inlineStr">
        <is>
          <t xml:space="preserve"/>
        </is>
      </c>
      <c r="G1" s="7" t="inlineStr">
        <is>
          <t xml:space="preserve"/>
        </is>
      </c>
      <c r="H1" s="7" t="inlineStr">
        <is>
          <t xml:space="preserve"/>
        </is>
      </c>
    </row>
    <row r="2">
      <c r="A2" s="8" t="inlineStr">
        <is>
          <t xml:space="preserve">FTC Competition Robot · Open in Onshape</t>
        </is>
      </c>
      <c r="B2" s="8" t="inlineStr">
        <is>
          <t xml:space="preserve"/>
        </is>
      </c>
      <c r="C2" s="8" t="inlineStr">
        <is>
          <t xml:space="preserve"/>
        </is>
      </c>
      <c r="D2" s="8" t="inlineStr">
        <is>
          <t xml:space="preserve"/>
        </is>
      </c>
      <c r="E2" s="8" t="inlineStr">
        <is>
          <t xml:space="preserve"/>
        </is>
      </c>
      <c r="F2" s="8" t="inlineStr">
        <is>
          <t xml:space="preserve"/>
        </is>
      </c>
      <c r="G2" s="8" t="inlineStr">
        <is>
          <t xml:space="preserve"/>
        </is>
      </c>
      <c r="H2" s="8" t="inlineStr">
        <is>
          <t xml:space="preserve"/>
        </is>
      </c>
    </row>
    <row r="3">
      <c r="A3" s="8" t="inlineStr">
        <is>
          <t xml:space="preserve">Scanned 2026-10-29 (Not recorded) · Generated 2026-10-23 12:00 UTC</t>
        </is>
      </c>
      <c r="B3" s="8" t="inlineStr">
        <is>
          <t xml:space="preserve"/>
        </is>
      </c>
      <c r="C3" s="8" t="inlineStr">
        <is>
          <t xml:space="preserve"/>
        </is>
      </c>
      <c r="D3" s="8" t="inlineStr">
        <is>
          <t xml:space="preserve"/>
        </is>
      </c>
      <c r="E3" s="8" t="inlineStr">
        <is>
          <t xml:space="preserve"/>
        </is>
      </c>
      <c r="F3" s="8" t="inlineStr">
        <is>
          <t xml:space="preserve"/>
        </is>
      </c>
      <c r="G3" s="8" t="inlineStr">
        <is>
          <t xml:space="preserve"/>
        </is>
      </c>
      <c r="H3" s="8" t="inlineStr">
        <is>
          <t xml:space="preserve"/>
        </is>
      </c>
    </row>
    <row r="4" ht="30" customHeight="1">
      <c r="A4" s="27" t="inlineStr">
        <is>
          <t xml:space="preserve">STEP files come from Download STEP files in Control Kit; each file in the ZIP has the name shown here, in a folder for its process.</t>
        </is>
      </c>
    </row>
    <row r="6">
      <c r="A6" s="6" t="inlineStr">
        <is>
          <t xml:space="preserve">#</t>
        </is>
      </c>
      <c r="B6" s="6" t="inlineStr">
        <is>
          <t xml:space="preserve">Part</t>
        </is>
      </c>
      <c r="C6" s="6" t="inlineStr">
        <is>
          <t xml:space="preserve">Qty Needed</t>
        </is>
      </c>
      <c r="D6" s="6" t="inlineStr">
        <is>
          <t xml:space="preserve">Process</t>
        </is>
      </c>
      <c r="E6" s="6" t="inlineStr">
        <is>
          <t xml:space="preserve">Material</t>
        </is>
      </c>
      <c r="F6" s="6" t="inlineStr">
        <is>
          <t xml:space="preserve">STEP file</t>
        </is>
      </c>
      <c r="G6" s="6" t="inlineStr">
        <is>
          <t xml:space="preserve">Onshape Part Studio</t>
        </is>
      </c>
      <c r="H6" s="6" t="inlineStr">
        <is>
          <t xml:space="preserve">Why</t>
        </is>
      </c>
    </row>
    <row r="7">
      <c r="A7" s="23" t="inlineStr">
        <is>
          <t xml:space="preserve">No parts are marked to make yet.</t>
        </is>
      </c>
    </row>
  </sheetData>
  <autoFilter ref="A6:H7"/>
  <mergeCells count="4">
    <mergeCell ref="A1:H1"/>
    <mergeCell ref="A2:H2"/>
    <mergeCell ref="A3:H3"/>
    <mergeCell ref="A4:H4"/>
  </mergeCells>
  <hyperlinks>
    <hyperlink ref="A2" r:id="rId1"/>
  </hyperlinks>
  <printOptions/>
  <pageMargins left="0.3" right="0.3" top="0.5" bottom="0.5" header="0.2" footer="0.2"/>
  <pageSetup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7"/>
  <sheetViews>
    <sheetView workbookViewId="0">
      <pane ySplit="6" topLeftCell="A7" activePane="bottomLeft" state="frozen"/>
    </sheetView>
  </sheetViews>
  <sheetFormatPr defaultRowHeight="16"/>
  <cols>
    <col min="1" max="1" width="6" customWidth="1"/>
    <col min="2" max="2" width="44" customWidth="1"/>
    <col min="3" max="3" width="15" customWidth="1"/>
    <col min="4" max="4" width="14" customWidth="1"/>
    <col min="5" max="5" width="21" customWidth="1"/>
    <col min="6" max="6" width="64" customWidth="1"/>
    <col min="7" max="7" width="24" customWidth="1"/>
  </cols>
  <sheetData>
    <row r="1">
      <c r="A1" s="7" t="inlineStr">
        <is>
          <t xml:space="preserve">NEEDS REVIEW</t>
        </is>
      </c>
      <c r="B1" s="7" t="inlineStr">
        <is>
          <t xml:space="preserve"/>
        </is>
      </c>
      <c r="C1" s="7" t="inlineStr">
        <is>
          <t xml:space="preserve"/>
        </is>
      </c>
      <c r="D1" s="7" t="inlineStr">
        <is>
          <t xml:space="preserve"/>
        </is>
      </c>
      <c r="E1" s="7" t="inlineStr">
        <is>
          <t xml:space="preserve"/>
        </is>
      </c>
      <c r="F1" s="7" t="inlineStr">
        <is>
          <t xml:space="preserve"/>
        </is>
      </c>
      <c r="G1" s="7" t="inlineStr">
        <is>
          <t xml:space="preserve"/>
        </is>
      </c>
    </row>
    <row r="2">
      <c r="A2" s="8" t="inlineStr">
        <is>
          <t xml:space="preserve">FTC Competition Robot · Open in Onshape</t>
        </is>
      </c>
      <c r="B2" s="8" t="inlineStr">
        <is>
          <t xml:space="preserve"/>
        </is>
      </c>
      <c r="C2" s="8" t="inlineStr">
        <is>
          <t xml:space="preserve"/>
        </is>
      </c>
      <c r="D2" s="8" t="inlineStr">
        <is>
          <t xml:space="preserve"/>
        </is>
      </c>
      <c r="E2" s="8" t="inlineStr">
        <is>
          <t xml:space="preserve"/>
        </is>
      </c>
      <c r="F2" s="8" t="inlineStr">
        <is>
          <t xml:space="preserve"/>
        </is>
      </c>
      <c r="G2" s="8" t="inlineStr">
        <is>
          <t xml:space="preserve"/>
        </is>
      </c>
    </row>
    <row r="3">
      <c r="A3" s="8" t="inlineStr">
        <is>
          <t xml:space="preserve">Scanned 2026-10-29 (Not recorded) · Generated 2026-10-23 12:00 UTC</t>
        </is>
      </c>
      <c r="B3" s="8" t="inlineStr">
        <is>
          <t xml:space="preserve"/>
        </is>
      </c>
      <c r="C3" s="8" t="inlineStr">
        <is>
          <t xml:space="preserve"/>
        </is>
      </c>
      <c r="D3" s="8" t="inlineStr">
        <is>
          <t xml:space="preserve"/>
        </is>
      </c>
      <c r="E3" s="8" t="inlineStr">
        <is>
          <t xml:space="preserve"/>
        </is>
      </c>
      <c r="F3" s="8" t="inlineStr">
        <is>
          <t xml:space="preserve"/>
        </is>
      </c>
      <c r="G3" s="8" t="inlineStr">
        <is>
          <t xml:space="preserve"/>
        </is>
      </c>
    </row>
    <row r="4" ht="30" customHeight="1">
      <c r="A4" s="27" t="inlineStr">
        <is>
          <t xml:space="preserve">Decide these parts in Control Kit. A possible product is a candidate only: it is not priced or ordered until someone confirms it.</t>
        </is>
      </c>
    </row>
    <row r="6">
      <c r="A6" s="6" t="inlineStr">
        <is>
          <t xml:space="preserve">#</t>
        </is>
      </c>
      <c r="B6" s="6" t="inlineStr">
        <is>
          <t xml:space="preserve">Part</t>
        </is>
      </c>
      <c r="C6" s="6" t="inlineStr">
        <is>
          <t xml:space="preserve">Qty Needed</t>
        </is>
      </c>
      <c r="D6" s="6" t="inlineStr">
        <is>
          <t xml:space="preserve">Suggested</t>
        </is>
      </c>
      <c r="E6" s="6" t="inlineStr">
        <is>
          <t xml:space="preserve">Possible product</t>
        </is>
      </c>
      <c r="F6" s="6" t="inlineStr">
        <is>
          <t xml:space="preserve">Why it needs review</t>
        </is>
      </c>
      <c r="G6" s="6" t="inlineStr">
        <is>
          <t xml:space="preserve">Onshape Part Studio</t>
        </is>
      </c>
    </row>
    <row r="7">
      <c r="A7" s="0">
        <v>1</v>
      </c>
      <c r="B7" s="3" t="inlineStr">
        <is>
          <t xml:space="preserve">Custom Printed Intake Guide</t>
        </is>
      </c>
      <c r="C7" s="0">
        <v>10</v>
      </c>
      <c r="D7" s="0" t="inlineStr">
        <is>
          <t xml:space="preserve">3D print</t>
        </is>
      </c>
      <c r="E7" s="0" t="inlineStr">
        <is>
          <t xml:space="preserve"/>
        </is>
      </c>
      <c r="F7" s="25" t="inlineStr">
        <is>
          <t xml:space="preserve">Name says it is printed; confirm 3D print</t>
        </is>
      </c>
      <c r="G7" s="17" t="inlineStr">
        <is>
          <t xml:space="preserve">Open Part Studio</t>
        </is>
      </c>
    </row>
  </sheetData>
  <autoFilter ref="A6:G7"/>
  <mergeCells count="4">
    <mergeCell ref="A1:G1"/>
    <mergeCell ref="A2:G2"/>
    <mergeCell ref="A3:G3"/>
    <mergeCell ref="A4:G4"/>
  </mergeCells>
  <hyperlinks>
    <hyperlink ref="A2" r:id="rId1"/>
    <hyperlink ref="G7" r:id="rId2"/>
  </hyperlinks>
  <printOptions/>
  <pageMargins left="0.3" right="0.3" top="0.5" bottom="0.5" header="0.2" footer="0.2"/>
  <pageSetup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dimension ref="A1:H11"/>
  <sheetViews>
    <sheetView workbookViewId="0">
      <pane ySplit="6" topLeftCell="A7" activePane="bottomLeft" state="frozen"/>
    </sheetView>
  </sheetViews>
  <sheetFormatPr defaultRowHeight="16"/>
  <cols>
    <col min="1" max="1" width="6" customWidth="1"/>
    <col min="2" max="2" width="48" customWidth="1"/>
    <col min="3" max="3" width="15" customWidth="1"/>
    <col min="4" max="4" width="17" customWidth="1"/>
    <col min="5" max="5" width="16" customWidth="1"/>
    <col min="6" max="6" width="30" customWidth="1"/>
    <col min="7" max="7" width="11" customWidth="1"/>
    <col min="8" max="8" width="24" customWidth="1"/>
  </cols>
  <sheetData>
    <row r="1">
      <c r="A1" s="7" t="inlineStr">
        <is>
          <t xml:space="preserve">LINKS</t>
        </is>
      </c>
      <c r="B1" s="7" t="inlineStr">
        <is>
          <t xml:space="preserve"/>
        </is>
      </c>
      <c r="C1" s="7" t="inlineStr">
        <is>
          <t xml:space="preserve"/>
        </is>
      </c>
      <c r="D1" s="7" t="inlineStr">
        <is>
          <t xml:space="preserve"/>
        </is>
      </c>
      <c r="E1" s="7" t="inlineStr">
        <is>
          <t xml:space="preserve"/>
        </is>
      </c>
      <c r="F1" s="7" t="inlineStr">
        <is>
          <t xml:space="preserve"/>
        </is>
      </c>
      <c r="G1" s="7" t="inlineStr">
        <is>
          <t xml:space="preserve"/>
        </is>
      </c>
      <c r="H1" s="7" t="inlineStr">
        <is>
          <t xml:space="preserve"/>
        </is>
      </c>
    </row>
    <row r="2">
      <c r="A2" s="8" t="inlineStr">
        <is>
          <t xml:space="preserve">FTC Competition Robot · Open in Onshape</t>
        </is>
      </c>
      <c r="B2" s="8" t="inlineStr">
        <is>
          <t xml:space="preserve"/>
        </is>
      </c>
      <c r="C2" s="8" t="inlineStr">
        <is>
          <t xml:space="preserve"/>
        </is>
      </c>
      <c r="D2" s="8" t="inlineStr">
        <is>
          <t xml:space="preserve"/>
        </is>
      </c>
      <c r="E2" s="8" t="inlineStr">
        <is>
          <t xml:space="preserve"/>
        </is>
      </c>
      <c r="F2" s="8" t="inlineStr">
        <is>
          <t xml:space="preserve"/>
        </is>
      </c>
      <c r="G2" s="8" t="inlineStr">
        <is>
          <t xml:space="preserve"/>
        </is>
      </c>
      <c r="H2" s="8" t="inlineStr">
        <is>
          <t xml:space="preserve"/>
        </is>
      </c>
    </row>
    <row r="3">
      <c r="A3" s="8" t="inlineStr">
        <is>
          <t xml:space="preserve">Scanned 2026-10-29 (Not recorded) · Generated 2026-10-23 12:00 UTC</t>
        </is>
      </c>
      <c r="B3" s="8" t="inlineStr">
        <is>
          <t xml:space="preserve"/>
        </is>
      </c>
      <c r="C3" s="8" t="inlineStr">
        <is>
          <t xml:space="preserve"/>
        </is>
      </c>
      <c r="D3" s="8" t="inlineStr">
        <is>
          <t xml:space="preserve"/>
        </is>
      </c>
      <c r="E3" s="8" t="inlineStr">
        <is>
          <t xml:space="preserve"/>
        </is>
      </c>
      <c r="F3" s="8" t="inlineStr">
        <is>
          <t xml:space="preserve"/>
        </is>
      </c>
      <c r="G3" s="8" t="inlineStr">
        <is>
          <t xml:space="preserve"/>
        </is>
      </c>
      <c r="H3" s="8" t="inlineStr">
        <is>
          <t xml:space="preserve"/>
        </is>
      </c>
    </row>
    <row r="4" ht="30" customHeight="1">
      <c r="A4" s="27" t="inlineStr">
        <is>
          <t xml:space="preserve">Each part links to its vendor product page (exact or confirmed products, and possible ones marked as such) and to the part in Onshape.</t>
        </is>
      </c>
    </row>
    <row r="6">
      <c r="A6" s="6" t="inlineStr">
        <is>
          <t xml:space="preserve">#</t>
        </is>
      </c>
      <c r="B6" s="6" t="inlineStr">
        <is>
          <t xml:space="preserve">Part</t>
        </is>
      </c>
      <c r="C6" s="6" t="inlineStr">
        <is>
          <t xml:space="preserve">Qty Needed</t>
        </is>
      </c>
      <c r="D6" s="6" t="inlineStr">
        <is>
          <t xml:space="preserve">How obtained</t>
        </is>
      </c>
      <c r="E6" s="6" t="inlineStr">
        <is>
          <t xml:space="preserve">Part number</t>
        </is>
      </c>
      <c r="F6" s="6" t="inlineStr">
        <is>
          <t xml:space="preserve">Vendor product</t>
        </is>
      </c>
      <c r="G6" s="6" t="inlineStr">
        <is>
          <t xml:space="preserve">Match</t>
        </is>
      </c>
      <c r="H6" s="6" t="inlineStr">
        <is>
          <t xml:space="preserve">Onshape Part Studio</t>
        </is>
      </c>
    </row>
    <row r="7">
      <c r="A7" s="0">
        <v>1</v>
      </c>
      <c r="B7" s="3" t="inlineStr">
        <is>
          <t xml:space="preserve">5203 Motor</t>
        </is>
      </c>
      <c r="C7" s="0">
        <v>20</v>
      </c>
      <c r="D7" s="0" t="inlineStr">
        <is>
          <t xml:space="preserve">Buy</t>
        </is>
      </c>
      <c r="E7" s="0" t="inlineStr">
        <is>
          <t xml:space="preserve">GB-5203</t>
        </is>
      </c>
      <c r="F7" s="17" t="inlineStr">
        <is>
          <t xml:space="preserve">goBILDA GB-5203</t>
        </is>
      </c>
      <c r="G7" s="0" t="inlineStr">
        <is>
          <t xml:space="preserve">Confirmed</t>
        </is>
      </c>
      <c r="H7" s="17" t="inlineStr">
        <is>
          <t xml:space="preserve">Open Part Studio</t>
        </is>
      </c>
    </row>
    <row r="8">
      <c r="A8" s="1">
        <v>2</v>
      </c>
      <c r="B8" s="4" t="inlineStr">
        <is>
          <t xml:space="preserve">96mm Wheel</t>
        </is>
      </c>
      <c r="C8" s="1">
        <v>16</v>
      </c>
      <c r="D8" s="1" t="inlineStr">
        <is>
          <t xml:space="preserve">Buy</t>
        </is>
      </c>
      <c r="E8" s="1" t="inlineStr">
        <is>
          <t xml:space="preserve"/>
        </is>
      </c>
      <c r="F8" s="18" t="inlineStr">
        <is>
          <t xml:space="preserve">REV REV-31-1234</t>
        </is>
      </c>
      <c r="G8" s="1" t="inlineStr">
        <is>
          <t xml:space="preserve">Confirmed</t>
        </is>
      </c>
      <c r="H8" s="18" t="inlineStr">
        <is>
          <t xml:space="preserve">Open Part Studio</t>
        </is>
      </c>
    </row>
    <row r="9">
      <c r="A9" s="0">
        <v>3</v>
      </c>
      <c r="B9" s="3" t="inlineStr">
        <is>
          <t xml:space="preserve">Bearing</t>
        </is>
      </c>
      <c r="C9" s="0">
        <v>14</v>
      </c>
      <c r="D9" s="0" t="inlineStr">
        <is>
          <t xml:space="preserve">Buy</t>
        </is>
      </c>
      <c r="E9" s="0" t="inlineStr">
        <is>
          <t xml:space="preserve"/>
        </is>
      </c>
      <c r="F9" s="17" t="inlineStr">
        <is>
          <t xml:space="preserve">ServoCity SC-8000</t>
        </is>
      </c>
      <c r="G9" s="0" t="inlineStr">
        <is>
          <t xml:space="preserve">Confirmed</t>
        </is>
      </c>
      <c r="H9" s="17" t="inlineStr">
        <is>
          <t xml:space="preserve">Open Part Studio</t>
        </is>
      </c>
    </row>
    <row r="10">
      <c r="A10" s="1">
        <v>4</v>
      </c>
      <c r="B10" s="4" t="inlineStr">
        <is>
          <t xml:space="preserve">M3 Screw</t>
        </is>
      </c>
      <c r="C10" s="1">
        <v>200</v>
      </c>
      <c r="D10" s="1" t="inlineStr">
        <is>
          <t xml:space="preserve">Buy</t>
        </is>
      </c>
      <c r="E10" s="1" t="inlineStr">
        <is>
          <t xml:space="preserve">AM-1000</t>
        </is>
      </c>
      <c r="F10" s="18" t="inlineStr">
        <is>
          <t xml:space="preserve">AndyMark AM-1000</t>
        </is>
      </c>
      <c r="G10" s="1" t="inlineStr">
        <is>
          <t xml:space="preserve">Confirmed</t>
        </is>
      </c>
      <c r="H10" s="18" t="inlineStr">
        <is>
          <t xml:space="preserve">Open Part Studio</t>
        </is>
      </c>
    </row>
    <row r="11">
      <c r="A11" s="0">
        <v>5</v>
      </c>
      <c r="B11" s="3" t="inlineStr">
        <is>
          <t xml:space="preserve">Custom Printed Intake Guide</t>
        </is>
      </c>
      <c r="C11" s="0">
        <v>10</v>
      </c>
      <c r="D11" s="0" t="inlineStr">
        <is>
          <t xml:space="preserve">Needs review</t>
        </is>
      </c>
      <c r="E11" s="0" t="inlineStr">
        <is>
          <t xml:space="preserve"/>
        </is>
      </c>
      <c r="F11" s="0" t="inlineStr">
        <is>
          <t xml:space="preserve"/>
        </is>
      </c>
      <c r="G11" s="0" t="inlineStr">
        <is>
          <t xml:space="preserve"/>
        </is>
      </c>
      <c r="H11" s="17" t="inlineStr">
        <is>
          <t xml:space="preserve">Open Part Studio</t>
        </is>
      </c>
    </row>
  </sheetData>
  <autoFilter ref="A6:H11"/>
  <mergeCells count="4">
    <mergeCell ref="A1:H1"/>
    <mergeCell ref="A2:H2"/>
    <mergeCell ref="A3:H3"/>
    <mergeCell ref="A4:H4"/>
  </mergeCells>
  <hyperlinks>
    <hyperlink ref="A2" r:id="rId1"/>
    <hyperlink ref="F7" r:id="rId2"/>
    <hyperlink ref="H7" r:id="rId3"/>
    <hyperlink ref="F8" r:id="rId4"/>
    <hyperlink ref="H8" r:id="rId5"/>
    <hyperlink ref="F9" r:id="rId6"/>
    <hyperlink ref="H9" r:id="rId7"/>
    <hyperlink ref="F10" r:id="rId8"/>
    <hyperlink ref="H10" r:id="rId9"/>
    <hyperlink ref="H11" r:id="rId10"/>
  </hyperlinks>
  <printOptions/>
  <pageMargins left="0.3" right="0.3" top="0.5" bottom="0.5" header="0.2" footer="0.2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8"/>
  <sheetViews>
    <sheetView workbookViewId="0">
      <pane ySplit="6" topLeftCell="A7" activePane="bottomLeft" state="frozen"/>
    </sheetView>
  </sheetViews>
  <sheetFormatPr defaultRowHeight="16"/>
  <cols>
    <col min="1" max="1" width="6" customWidth="1"/>
    <col min="2" max="2" width="14" customWidth="1"/>
    <col min="3" max="3" width="44" customWidth="1"/>
    <col min="4" max="4" width="8" customWidth="1"/>
    <col min="5" max="5" width="72" customWidth="1"/>
    <col min="6" max="6" width="24" customWidth="1"/>
  </cols>
  <sheetData>
    <row r="1">
      <c r="A1" s="7" t="inlineStr">
        <is>
          <t xml:space="preserve">EXCEPTIONS</t>
        </is>
      </c>
      <c r="B1" s="7" t="inlineStr">
        <is>
          <t xml:space="preserve"/>
        </is>
      </c>
      <c r="C1" s="7" t="inlineStr">
        <is>
          <t xml:space="preserve"/>
        </is>
      </c>
      <c r="D1" s="7" t="inlineStr">
        <is>
          <t xml:space="preserve"/>
        </is>
      </c>
      <c r="E1" s="7" t="inlineStr">
        <is>
          <t xml:space="preserve"/>
        </is>
      </c>
      <c r="F1" s="7" t="inlineStr">
        <is>
          <t xml:space="preserve"/>
        </is>
      </c>
    </row>
    <row r="2">
      <c r="A2" s="8" t="inlineStr">
        <is>
          <t xml:space="preserve">FTC Competition Robot · Open in Onshape</t>
        </is>
      </c>
      <c r="B2" s="8" t="inlineStr">
        <is>
          <t xml:space="preserve"/>
        </is>
      </c>
      <c r="C2" s="8" t="inlineStr">
        <is>
          <t xml:space="preserve"/>
        </is>
      </c>
      <c r="D2" s="8" t="inlineStr">
        <is>
          <t xml:space="preserve"/>
        </is>
      </c>
      <c r="E2" s="8" t="inlineStr">
        <is>
          <t xml:space="preserve"/>
        </is>
      </c>
      <c r="F2" s="8" t="inlineStr">
        <is>
          <t xml:space="preserve"/>
        </is>
      </c>
    </row>
    <row r="3">
      <c r="A3" s="8" t="inlineStr">
        <is>
          <t xml:space="preserve">Scanned 2026-10-29 (Not recorded) · Generated 2026-10-23 12:00 UTC</t>
        </is>
      </c>
      <c r="B3" s="8" t="inlineStr">
        <is>
          <t xml:space="preserve"/>
        </is>
      </c>
      <c r="C3" s="8" t="inlineStr">
        <is>
          <t xml:space="preserve"/>
        </is>
      </c>
      <c r="D3" s="8" t="inlineStr">
        <is>
          <t xml:space="preserve"/>
        </is>
      </c>
      <c r="E3" s="8" t="inlineStr">
        <is>
          <t xml:space="preserve"/>
        </is>
      </c>
      <c r="F3" s="8" t="inlineStr">
        <is>
          <t xml:space="preserve"/>
        </is>
      </c>
    </row>
    <row r="6">
      <c r="A6" s="6" t="inlineStr">
        <is>
          <t xml:space="preserve">#</t>
        </is>
      </c>
      <c r="B6" s="6" t="inlineStr">
        <is>
          <t xml:space="preserve">Kind</t>
        </is>
      </c>
      <c r="C6" s="6" t="inlineStr">
        <is>
          <t xml:space="preserve">Part</t>
        </is>
      </c>
      <c r="D6" s="6" t="inlineStr">
        <is>
          <t xml:space="preserve">Qty</t>
        </is>
      </c>
      <c r="E6" s="6" t="inlineStr">
        <is>
          <t xml:space="preserve">Detail</t>
        </is>
      </c>
      <c r="F6" s="6" t="inlineStr">
        <is>
          <t xml:space="preserve">Onshape Part Studio</t>
        </is>
      </c>
    </row>
    <row r="7">
      <c r="A7" s="0">
        <v>1</v>
      </c>
      <c r="B7" s="3" t="inlineStr">
        <is>
          <t xml:space="preserve">Out of stock</t>
        </is>
      </c>
      <c r="C7" s="0" t="inlineStr">
        <is>
          <t xml:space="preserve">96mm Wheel</t>
        </is>
      </c>
      <c r="D7" s="0">
        <v>16</v>
      </c>
      <c r="E7" s="25" t="inlineStr">
        <is>
          <t xml:space="preserve">REV REV-31-1234, as of 2026-10-23</t>
        </is>
      </c>
      <c r="F7" s="17" t="inlineStr">
        <is>
          <t xml:space="preserve">Open Part Studio</t>
        </is>
      </c>
    </row>
    <row r="8">
      <c r="A8" s="1">
        <v>2</v>
      </c>
      <c r="B8" s="4" t="inlineStr">
        <is>
          <t xml:space="preserve">Suppressed</t>
        </is>
      </c>
      <c r="C8" s="1" t="inlineStr">
        <is>
          <t xml:space="preserve">Spare Gear</t>
        </is>
      </c>
      <c r="D8" s="1">
        <v>4</v>
      </c>
      <c r="E8" s="26" t="inlineStr">
        <is>
          <t xml:space="preserve">Suppressed in Onshape, so not bought or made (4 places in the assembly)</t>
        </is>
      </c>
      <c r="F8" s="18" t="inlineStr">
        <is>
          <t xml:space="preserve">Open Part Studio</t>
        </is>
      </c>
    </row>
  </sheetData>
  <autoFilter ref="A6:F8"/>
  <mergeCells count="3">
    <mergeCell ref="A1:F1"/>
    <mergeCell ref="A2:F2"/>
    <mergeCell ref="A3:F3"/>
  </mergeCells>
  <hyperlinks>
    <hyperlink ref="A2" r:id="rId1"/>
    <hyperlink ref="F7" r:id="rId2"/>
    <hyperlink ref="F8" r:id="rId3"/>
  </hyperlinks>
  <printOptions/>
  <pageMargins left="0.3" right="0.3" top="0.5" bottom="0.5" header="0.2" footer="0.2"/>
  <pageSetup orientation="landscape" fitToWidth="1" fitToHeight="0"/>
</worksheet>
</file>